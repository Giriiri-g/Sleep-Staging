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<sst xmlns="http://schemas.openxmlformats.org/spreadsheetml/2006/main" count="85" uniqueCount="84">
  <si>
    <t>Sl No.</t>
  </si>
  <si>
    <t>Title</t>
  </si>
  <si>
    <t>Author(s) &amp; Proceedings</t>
  </si>
  <si>
    <t>Year</t>
  </si>
  <si>
    <t>Journal/ Impact Factor</t>
  </si>
  <si>
    <t>Citations</t>
  </si>
  <si>
    <t>Dataset Used</t>
  </si>
  <si>
    <t>Methodology/ Approach</t>
  </si>
  <si>
    <t>Limitations &amp; Future works</t>
  </si>
  <si>
    <t>Ref patent(if product based project)</t>
  </si>
  <si>
    <t>Objective sleep efficiency predicts 
cardiovascular disease in a community
 population: The sleep heart health study</t>
  </si>
  <si>
    <t>Bin Yan; Jian Yang; Binbin Zhao; Yajuan Fan; Wei Wang; Xiancang Ma
American Heart Association Journals</t>
  </si>
  <si>
    <t>SHHS</t>
  </si>
  <si>
    <t>The study employed a prospective cohort design with an almost 11-year follow-up period using in-home polysomnography to objectively measure sleep efficiency and wake after sleep onset. Sleep efficiency was calculated as the ratio of total sleep time to time spent in bed and categorized into four groups, while cardiovascular outcomes were assessed using exhaustive protocols from parent cohorts. Cox regression analysis was utilized to explore associations between sleep parameters and cardiovascular disease, with multivariate models adjusting for age, sex, race, smoking status, body mass index, hypertension, diabetes mellitus, apnea-hypopnea index, and sleep duration</t>
  </si>
  <si>
    <t>Several study limitations were identified including the advanced average age (&gt;60 years) and predominantly White population, limiting generalizability to younger and more diverse ethnic groups. Important covariates such as depression, exercise habits, tea and coffee consumption, and drug use could not be adjusted due to data unavailability, and single-night polysomnography may not fully represent true sleep efficiency. Future research directions include exploring sleep efficiency fluctuations using multiple polysomnography recordings over extended periods and investigating the relationship between repeated-measure sleep efficiency and cardiovascular disease using wrist actigraphy for long-term sleep pattern documentation.</t>
  </si>
  <si>
    <t>Explainable vision transformer for
automatic visual sleep staging on
multimodal PSG signals</t>
  </si>
  <si>
    <t>Hyojin Lee, You RimChoi, Hyun Kyung Lee, Jaemin Jeong, Joopyo Hong,
Hyun-Woo Shin &amp; Hyung-Sin Kim
NPJ Digital Medicine</t>
  </si>
  <si>
    <t>KISS, SHHS, SHHS-2</t>
  </si>
  <si>
    <t>The methodology employs SleepXViT, a dual-component Vision Transformer system that converts multimodal PSG signals and processes them through an Intra-epoch ViT followed by an Inter-epoch ViT . The system provides explainability through Layer-wise Relevance Propagation (LRP) heatmaps and confidence scoring.</t>
  </si>
  <si>
    <t>Enhanced Model Development, lightweight model development, dataset expansion.</t>
  </si>
  <si>
    <t>SleepFM: Multi-modal Representation Learning for Sleep Across Brain Activity, ECG and Respiratory Signals</t>
  </si>
  <si>
    <t>Rahul Thapa, Bryan He, Magnus Ruud Kjær, Hyatt Moore, Gauri Ganjoo, Emmanuel Mignot,
James Zou
41 st International Conference on Machine Learning</t>
  </si>
  <si>
    <t>SSC(Self-curated), CinC</t>
  </si>
  <si>
    <t>• Curated and processed a polysomnography (PSG) dataset featuring over 14,000 participants and more than 100,000 hours of sleep monitoring, collecting brain activity (EEG/EOG/EMG), ECG, and respiratory signals for each subject.
• Developed SleepFM, a foundation model trained with self-supervised contrastive learning on raw PSG data that integrates three main physiological modalities—Brain Activity Signals (BAS), ECG, and respiratory signals.
• Proposed a new leave-one-out approach to contrastive learning, contrasting embeddings from each modality against the average of embeddings from the other modalities, shown to outperform standard pairwise contrastive learning across downstream tasks such as sleep staging and event detection.
• Evaluated SleepFM on an independent external dataset - CinC from Physionet, demonstrating strong generalization to unseen subjects, data acquisition protocols, and channel configurations.</t>
  </si>
  <si>
    <r>
      <rPr>
        <rFont val="Arial"/>
        <color theme="1"/>
      </rPr>
      <t xml:space="preserve">• The model is mainly trained and evaluated on data from one institution, limiting broad generalizability to other clinics or countries.
• The dataset largely represents patients with sleep complaints, so healthy or non-clinical populations are underrepresented.
• Focused mostly on sleep stage classification and sleep-disordered breathing (SDB) detection; other important sleep events and diseases (like narcolepsy and arousals) were not explored.
• </t>
    </r>
    <r>
      <rPr>
        <rFont val="Arial"/>
        <b/>
        <color theme="1"/>
      </rPr>
      <t xml:space="preserve">Future works - 
</t>
    </r>
    <r>
      <rPr>
        <rFont val="Arial"/>
        <color theme="1"/>
      </rPr>
      <t>(1) pretraining a multi-site, multi-modal foundation model for sleep using diverse PSG data, 
(2) careful selection and weighting of modalities and handling missing channels, 
(3) expanding evaluation to more clinically meaningful tasks beyond sleep stage and SDB, and 
(4) experimenting with multiple other SSL methods.</t>
    </r>
  </si>
  <si>
    <t>An Explainable Artiﬁcial Intelligence Framework
for the Deterioration Risk Prediction of Hepatitis Patients</t>
  </si>
  <si>
    <t>Junfeng Peng, Kaiqiang Zou, Mi Zhou, Yi Teng, Xiongyong Zhu, Feifei Zhang, Jun Xu
Journal Of Medical Systems</t>
  </si>
  <si>
    <t>Hepatitis dataset from the UCI Machine Learning Repository</t>
  </si>
  <si>
    <t>Multiple machine learning models were employed for predicting hepatitis deterioration risk, including transparent models such as logistic regression, decision trees, and k-nearest neighbors, and complex “black-box” models like support vector machines (SVM), eXtreme Gradient Boosting (XGBoost), and random forests (RF). Models were evaluated using K-fold cross-validation. To enhance interpretability of complex models, model-agnostic explanation methods—SHapley Additive exPlanations (SHAP), Local Interpretable Model-agnostic Explanations (LIME), and Partial Dependence Plots (PDP)—were applied to provide global and local explanations of model decision-making, aiding clinical understanding.</t>
  </si>
  <si>
    <t>Limitations include the relatively small dataset size limiting generalizability, and the study’s reliance on benchmark, static data rather than real-time patient data. Future work aims to collect more real-world hepatitis patient data for validation and apply additional interpretability methods such as counterfactual explanations. The study highlights the importance of combining high prediction performance of complex models with interpretability for clinical acceptance and better diagnosis support.</t>
  </si>
  <si>
    <t xml:space="preserve"> A Multimodal Sleep Foundation Model Developed with 500K Hours of Sleep Recordings for Disease Predictions.</t>
  </si>
  <si>
    <t>Thapa, R., Kjær, M. R., He, B., Covert, I., Moore, H., Hanif, U., Ganjoo, G., Westover, B. M., Jennum, P., Brink-Kjær, A., Mignot, E., &amp; Zou, J. (2025).</t>
  </si>
  <si>
    <t>SSC(Self-curated), SHHS, MRO, BioSerenity, MESA</t>
  </si>
  <si>
    <t>• over 585K hours worth of PSG data collected from various Datasets with approx 65K patients from diverse population and ages.
• Developed a channel agnostic multimodal foundational model using self-supervised constrastive learning handling heterogenous data with varying channels in the signals and missing modalty setup.
• trained using a novel leave-one-out contrastive learning strategy, then fine-tuned on down-stream tasks such as disease prediction, sleep staging, sleep apnea diagnosis, age prediction etc.
• excellent cross-cohort generalization done on both internal dataset and complete transfer learning on external dataset</t>
  </si>
  <si>
    <t>• high variability in recording setup results in highly varying signals and signal quality reducing the model's ability to learn the underlying pattern.
•  Existing deep learning models often struggle to generalize across new sites, cohorts, or temporal changes, posing a challenge for real-world deployment.
•  Manual sleep staging and outcome annotation is laborious and inconsistent, limiting the size and diversity of high-quality labeled datasets for supervised learning.
• Training on such a vast, multimodal dataset required substantial computational resources and sophisticated data engineering to avoid leakage and bias.
•  Most data originated from subjects referred for sleep studies (i.e., with suspected disorders), so findings may not generalize to the broader, healthy population.
• The deep CNN and transformer-based model is a “black box,” making it challenging to interpret which aspects of sleep physiology drive predictions for specific diseases.
• Some performance degradation was observed on the most recent (2020+) cohort, indicating distribution drift over time due to changes in practice or population.
• Explore combining PSG-based sleep biomarkers with existing diagnostic tools (imaging, fluid biomarkers) for enhanced disease prediction.</t>
  </si>
  <si>
    <t>SleepTransformer: Automatic Sleep Staging with
Interpretability and Uncertainty Quantification</t>
  </si>
  <si>
    <t xml:space="preserve">Huy Phan, Kaare Mikkelsen, Oliver Y. Ch ́en, Philipp Koch, Alfred Mertins, and Maarten De Vos
IEEE Transactions on Biomedical Engineering 
</t>
  </si>
  <si>
    <t>SHHS, Sleep-EDF Expanded</t>
  </si>
  <si>
    <t xml:space="preserve">Each 30-second EEG epoch sampled at 100 Hz is converted into a log-amplitude time–frequency image via STFT frames with 50% overlap, normalized along frequency. The proposed SleepTransformer employs a purely transformer-based sequence-to-sequence architecture: an “EpochTransformer” stack encodes intra-epoch spectral columns with positional encoding and weighted pooling, and a “SequenceTransformer” stack models inter-epoch context across epoch sequences, both using multi-head self-attention and feed-forward modules. Model outputs undergo softmax for 5-stage classification, with entropy of the probability distribution normalized to quantify confidence.
</t>
  </si>
  <si>
    <t>Future work can integrate data uncertainty estimation alongside model uncertainty—potentially via maximum-class probability measures—and explore more sophisticated transformer variants or hybrid architectures. Advanced visualization techniques and human-in-the-loop interactions may further enhance interpretability, and transfer-learning strategies could mitigate overfitting on smaller cohorts, enabling broader clinical adoption.</t>
  </si>
  <si>
    <t>Advanced polysomnographic analysis 
for OSA: A pathway to personalized 
management?</t>
  </si>
  <si>
    <t>PHILIP DE CHAZAL, KATE SUTHERLAND AND 
PETER A. CISTULLI
Official Journal of the Asian Pacific Society Of Respirology</t>
  </si>
  <si>
    <t>National Sleep Research Resource
, PhysioNet, US Veterans cohort</t>
  </si>
  <si>
    <t>The study employed enhanced polysomnographic signal analysis methods utilizing sophisticated signal processing and machine learning approaches for OSA precision medicine. Advanced analytical techniques included electroencephalography analysis using frequency domain transformations (Fourier and Wavelet domains), electrocardiography analysis through heart rate variability and detrended fluctuation analysis, oximetry analysis measuring hypoxic burden, and multi-sensor methods combining ECG, photoplethysmogram, and oximetry signals. Machine learning applications incorporated both supervised and unsupervised learning methods, with convolutional neural networks (CNN) and long short-term memory (LSTM) networks being particularly suited for time series PSG data processing and automated feature extraction.</t>
  </si>
  <si>
    <t>Current limitations include substantial underutilization of physiological data collected during sleep studies due to varying semantic infrastructure across centers, patient privacy/security concerns, and data handling challenges of storing and distributing large datasets. The approaches described remain some way from translation to clinical practice, with novel PSG parameters not yet routinely utilized in clinical practice nor integrated into practice guidelines such as American Academy of Sleep Medicine recommendations. Future directions involve assembling large, well-coordinated databases of PSG signals from vast clinical sleep populations worldwide, with extensive linkage to health outcomes that will hasten the development of advanced polysomnographic analysis where machine learning methods are anticipated to play a significant role in developing precision medicine approaches for improved individual outcomes and OSA care efficiency</t>
  </si>
  <si>
    <t>Sleep heart rate variability assists the automatic prediction of long-term cardiovascular outcomes</t>
  </si>
  <si>
    <t>Lulu Zhang, Huili Wu, Xiangyu Zhang, Xinfa Wei, Fengzhen Hou, Yan Ma
Sleep Medicine</t>
  </si>
  <si>
    <t>ECG signals were preprocessed to extract RR intervals and compute short-term HRV metrics using time-domain and frequency-domain analyses on 5-minute HRV segments during REM, Stage 2, and N3 sleep. Logistic regression identified independent HRV predictors of long-term CVD outcomes, while multivariable linear regression assessed associations between HRV features and CVD latency. Furthermore, an eXtreme Gradient Boosting (XGBoost) machine learning classifier was trained on HRV and clinical features with five-fold cross-validation to predict the occurrence of CVD events during follow-up, achieving a prediction accuracy of approximately 75%.</t>
  </si>
  <si>
    <t>The study's limitations include reliance on conventional HRV metrics without incorporating nonlinear HRV features that may provide additional predictive value. Future work could enrich models with nonlinear HRV indices, leverage other machine learning algorithms, and incorporate more clinical risk factors such as blood pressure and lipid profiles to enhance CVD prediction accuracy. Investigating the role of sleep HRV in short-term CVD event prediction also represents a promising direction for further research.</t>
  </si>
  <si>
    <t>An explainable deep-learning model to stage sleep states in children and propose novel EEG-related patterns in sleep apnea</t>
  </si>
  <si>
    <t>Fernando Vaquerizo-Villar , Gonzalo C. Guti´errez-Tobal, Eva Calvo, Daniel ´Alvarez,
Leila Kheirandish-Gozal, F´elix del Campo, David Gozal, Roberto Hornero
Computers in Biology Medicine</t>
  </si>
  <si>
    <t>Childhood Adenotonsillectomy Trial (CHAT), Clinical database from the University of Chicago (UofC)</t>
  </si>
  <si>
    <t>Three deep-learning architectures—standard convolutional neural network (CNN), CNN-Inception, and CNN-RNN—were developed to classify 30-second EEG epochs into five sleep stages (Wake, N1, N2, N3, REM) using single-channel EEG (C4-M1). The CNN architecture with batch normalization and dropout showed the best performance. An explainable artificial intelligence (XAI) technique, Gradient-weighted Class Activation Mapping (Grad-CAM), was applied to visualize EEG features the deep-learning model used for classification, enabling interpretation of both correctly classified and ambiguous epochs. Model performance was assessed using accuracy, Cohen’s kappa, macro F1-score, and validation on an external dataset was performed by comparing predicted and actual TST.</t>
  </si>
  <si>
    <t>Limitations include reliance on a single XAI method (Grad-CAM); future studies could explore alternative explainability techniques and automated discovery of novel stage-related EEG patterns. Additional annotated pediatric datasets are needed to improve generalizability, and deployment on ambulatory or portable EEG devices could enhance practical applicability. Extending the method to incorporate cardiorespiratory signals and to detect apnea/hypopnea events via deep-learning and XAI frameworks is proposed as future work to improve pediatric OSA diagnosis.</t>
  </si>
  <si>
    <t>Predicting long-term sleep deprivation using wearable sensors and health
surveys</t>
  </si>
  <si>
    <t>Rafael Trujillo, Enshi Zhang, John Michael Templeton, Christian Poellabauer
Computers in Biology Medicine</t>
  </si>
  <si>
    <t>NetHealth</t>
  </si>
  <si>
    <t>The study applied Recursive Feature Elimination with Random Forest (RFE-RF) to identify the most important features among a broad set of 157 variables, including Fitbit physical activity data, previous sleep data, and survey responses, for predicting long-term average sleep duration and classifying participants as poor or normal sleepers. Four sleep prediction schemes were evaluated: predicting average sleep duration, classifying sleeper status (including predicting degradation from healthy to poor sleep), both with and without including previous sleep data. Multiple machine learning models including K-Nearest Neighbors, Support Vector Machines, Logistic and Linear Regression, and Random Forests were trained and cross-validated. The feature selection process was carefully integrated within the cross-validation to avoid overfitting.</t>
  </si>
  <si>
    <t>Limitations include the dataset being restricted to primarily freshman university students from a single geographic location and time period, which may limit generalizability to other populations. The study did not utilize minute-by-minute Fitbit data or include participants’ ages, which could enhance models. Future work should explore additional and more fine-grained sensor-derived features, environmental factors such as air quality, and extend to broader, more diverse populations. Improving data filtering approaches and incorporating insights from sleep researchers to identify new predictive features and enhance model generalizability are also recommended.</t>
  </si>
  <si>
    <r>
      <rPr>
        <rFont val="Arial"/>
        <color theme="1"/>
      </rPr>
      <t xml:space="preserve">A </t>
    </r>
    <r>
      <rPr>
        <rFont val="Arial"/>
        <b/>
        <color theme="1"/>
      </rPr>
      <t xml:space="preserve">Survey </t>
    </r>
    <r>
      <rPr>
        <rFont val="Arial"/>
        <color theme="1"/>
      </rPr>
      <t>on Explainable Artificial Intelligence (XAI): Toward Medical XAI</t>
    </r>
  </si>
  <si>
    <t>Erico Tjoa, Cuntai Guan
IEEE Transactions on Neural Networks and Learning Systems</t>
  </si>
  <si>
    <t>As a survey paper, it does not rely on a single dataset but rather analyzes and synthesizes findings from a wide range of ML interpretability studies in various medical domains, including medical imaging, diagnostics, and prognosis. The surveyed works cover diverse data types such as medical images (2D, 3D, and 4D), electronic health records, and physiological signals.</t>
  </si>
  <si>
    <r>
      <rPr>
        <rFont val="Arial"/>
        <b/>
        <color theme="1"/>
      </rPr>
      <t>This survey paper</t>
    </r>
    <r>
      <rPr>
        <rFont val="Arial"/>
        <color theme="1"/>
      </rPr>
      <t xml:space="preserve"> categorizes interpretability into two major types: perceptive interpretability and interpretability via mathematical structure. Perceptive interpretability includes methods that produce humanly perceptible explanations such as saliency maps, textual justifications, and visual highlights of relevant input features. It covers submethods like saliency techniques (e.g., LIME, CAM, LRP), signal methods, and verbal interpretations. Interpretability via mathematical structure involves analyzing the underlying models and extracting interpretable mathematical patterns or feature relationships, including predefined models, feature extraction, sensitivity analysis, and optimization methods. The paper further discusses challenges such as manipulation of explanations, incompleteness of constraints, noisy training data, and the need for domain-specific education for clinicians and researchers. It additionally considers different evaluation frameworks for interpretability, including human-centered and functionally grounded assessments. The paper applies this categorization to numerous medical AI studies to provide a comprehensive overview of current progress and gaps.</t>
    </r>
  </si>
  <si>
    <t>The survey identifies the critical need for more comparative studies of interpretability methods specific to medical applications, emphasizing clearer display, evaluation, and acknowledgment of shortcomings in explainability techniques. It suggests expanding interpretability to domain-aware methods and fostering collaborations between ML researchers and healthcare practitioners to ensure explanations are clinically meaningful. The paper warns of the risks of misleading explanations and suggests human supervision is essential until robust interpretability frameworks mature. Future directions include standardizing interpretability evaluation, enhancing robustness against noise and adversarial manipulations, and promoting education at the interface of medicine, mathematics, and data science. The survey calls for ongoing, conscientious efforts to integrate interpretability systematically into medical AI development and deployment.</t>
  </si>
  <si>
    <r>
      <rPr>
        <rFont val="Arial"/>
        <color theme="1"/>
      </rPr>
      <t xml:space="preserve">A systematic </t>
    </r>
    <r>
      <rPr>
        <rFont val="Arial"/>
        <b/>
        <color theme="1"/>
      </rPr>
      <t xml:space="preserve">review </t>
    </r>
    <r>
      <rPr>
        <rFont val="Arial"/>
        <color theme="1"/>
      </rPr>
      <t>on sleep stage classification and sleep disorder detection using artificial intelligence</t>
    </r>
  </si>
  <si>
    <t>Tayab Uddin Wara, Ababil Hossain Fahad, Adri Shankar Das, Md Mehedi
Hasan Shawon
Heliyon</t>
  </si>
  <si>
    <t>As a survey, it synthesizes findings from 81 selected studies covering diverse datasets predominantly from open-access polysomnography databases like Physionet Sleep-EDF, Sleep-EDFx, Sleep Heart Health Study (SHHS), and various proprietary datasets collected by hospitals and research institutions worldwide. Sample sizes vary widely, from fewer than 20 subjects to over 15,000 participants, reflecting heterogeneity in dataset scale.</t>
  </si>
  <si>
    <t>This survey employed a systematic literature review approach, following PRISMA guidelines for article selection based on predefined inclusion and exclusion criteria applied to relevant journals and databases with search terms focusing on sleep studies and AI techniques. Key research questions guiding the review include: (1) which body signals are used for sleep analysis, (2) typical dataset sizes utilized, (3) which AI models achieve best performance, and (4) what evaluation metrics are most common.
The reviewed AI methods include a wide spectrum of algorithms with neural networks (especially CNNs and RNN variants like LSTM and GRU) being most prevalent, followed by traditional machine learning methods such as support vector machines and random forests. Detailed model architectures, their advantages and drawbacks are summarized. Performance metrics commonly reported are accuracy, precision, F1-score, kappa, sensitivity, and specificity.
The paper also analyzes trends in feature usage (e.g., EEG dominance), dataset sources, model selection, and evaluation strategies. Visual aids depict the frequency of different algorithms and dataset sizes, helping elucidate prevailing patterns in sleep-related AI research.</t>
  </si>
  <si>
    <t xml:space="preserve">The survey highlights unmet needs including: development of AI models focused on predicting specific sleep disorders (beyond staging); improving generalizability across heterogeneous datasets; leveraging multimodal physiological data integration; and enhancing explainability in AI systems for clinical acceptance. The study notes the limitation of excluding subscription-based research, possibly omitting valuable insights.
</t>
  </si>
  <si>
    <t>SleepXAI: An explainable deep learning approach for multi-class sleep stage identification</t>
  </si>
  <si>
    <t>Micheal Dutt, Surender Redhu, Morten Goodwin, Christian W. Omlin
Applied intelligence</t>
  </si>
  <si>
    <t>Sleep-EDF Expanded</t>
  </si>
  <si>
    <t>- Developed SleepXAI , an explainable unified CNN–CRF model for multi-class sleep stage classification on single-channel EEG signals, enhanced with modified Grad-CAM to visualize the EEG features driving each sleep stage decision
- The raw 30 s EEG epoch is passed through stacked 1D CNN and pooling layers to extract hierarchical time-invariant features
- A TimeDistributed layer encodes the sequence of epochs into feature vectors for context modeling
-A unified CNN–CRF labeler learns temporal dependencies and transition rules among sleep stages to predict labels</t>
  </si>
  <si>
    <t>SleepXAI was evaluated only on the limited Sleep-EDF-x 2013 dataset of healthy subjects, restricting its generalizability to clinical populations with sleep disorders.
The model relies on just two EEG channels (Fpz-Cz and Pz-Oz) and ignores other PSG signals like EOG, EMG, and respiration.
Class imbalance, especially the scarcity of N1 epochs, may bias the model despite CNN–CRF improvements.
Adaptation to diverse demographics, longer-term recordings, and domain shifts remains untested.</t>
  </si>
  <si>
    <t>A multilayer multimodal detection and prediction model based on explainable artificial intelligence for Alzheimer’s disease</t>
  </si>
  <si>
    <t>El-Sappagh S, Alonso J, Islam S, Sultan A,
Kwak K 
Scientific Reports</t>
  </si>
  <si>
    <t>Alzheimer's Disease Neuroimaging Initiative (ADNI).</t>
  </si>
  <si>
    <t>The study developed a two-layer machine learning framework using Random Forest classifiers for Alzheimer's disease diagnosis and progression prediction. The first layer classifies subjects as cognitively normal, stable MCI, progressive MCI, or AD, while the second predicts MCI-to-AD progression within three years. Feature selection using recursive feature elimination identified the most relevant biomarkers from 11 multimodal data types including cognitive scores, genetics, MRI, and PET. The model’s explainability is enhanced by integrating 22 interpretable classifiers (decision trees and fuzzy rule-based systems) to provide complementary, natural language explanations alongside the Random Forest predictions. Model performance and interpretability were validated through cross-validation and testing on the ADNI dataset.</t>
  </si>
  <si>
    <t xml:space="preserve">The limitations of the study include the use of only baseline data without incorporating longitudinal time-series data, which could improve accuracy and explainability. The model does not consider patients' medication history and comorbidities, which are available in the ADNI dataset but not yet studied. Additionally, network science approaches analyzing brain interconnectivity patterns have limitations due to small sample sizes, baseline-only data, and lack of longitudinal studies. Finally, while the model shows promise academically, it is not yet ready for real-world clinical application and requires further validation on other datasets and enhancements with longitudinal and deep learning approaches.
</t>
  </si>
  <si>
    <t>An End-to-End Lightweight Multi-Scale CNN for the
Classification of Lung and Colon Cancer with XAI Integration</t>
  </si>
  <si>
    <t>Mohammad Asif Hasan, Fariha Haque, Saifur Rahman Sabuj,
Fahmida Rahman and Md Mamunur Rashid
Technologies</t>
  </si>
  <si>
    <t>LC25000 (publicly available on Kaggle)</t>
  </si>
  <si>
    <t>- The LW-MS-CCN is a lightweight, multi-scale convolutional neural network that classifies histopathology images into five lung and colon cancer subtypes with 99.20% accuracy and integrates Grad-CAM and SHAP to visually explain the image regions driving its predictions.
- The model preprocesses 25,000 LC25000 histopathology images by resizing them to 180×180 pixels, converting to RGB, normalizing pixel values, and encoding labels
- A lightweight multi-scale CNN with 1.1 million parameters applies six blocks of 3×3 convolutions followed by 2×2 max-pooling, progressively reducing spatial dimensions while increasing feature depth
- Features from three different depths are concatenated in a multi-scale head, flattened, and passed through two dense layers with dropout before a softmax output for five-class classification
- Grad-CAM and SHAP are integrated to generate heatmaps and pixel-level attributions that visually explain which regions influenced each prediction</t>
  </si>
  <si>
    <r>
      <rPr>
        <rFont val="Roboto"/>
        <color rgb="FF434343"/>
      </rPr>
      <t xml:space="preserve">- There is no clinical validation as the model performance was demonstrated on the LC25000 dataset but not yet tested in real hospital settings
</t>
    </r>
    <r>
      <rPr>
        <rFont val="Roboto"/>
        <b/>
        <color rgb="FF434343"/>
      </rPr>
      <t xml:space="preserve">Future works
</t>
    </r>
    <r>
      <rPr>
        <rFont val="Roboto"/>
        <color rgb="FF434343"/>
      </rPr>
      <t>- Conduct prospective clinical studies to validate model accuracy and reliability on diverse patient data</t>
    </r>
  </si>
</sst>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Arial"/>
    </font>
    <font>
      <b/>
      <sz val="11.0"/>
      <color theme="1"/>
      <name val="Calibri"/>
    </font>
    <font>
      <b/>
      <sz val="11.0"/>
      <color theme="1"/>
      <name val="Arial"/>
    </font>
    <font>
      <b/>
      <sz val="11.0"/>
      <color theme="1"/>
      <name val="Aptos"/>
    </font>
    <font>
      <color rgb="FF434343"/>
      <name val="Roboto"/>
    </font>
  </fonts>
  <fills count="3">
    <fill>
      <patternFill patternType="none"/>
    </fill>
    <fill>
      <patternFill patternType="lightGray"/>
    </fill>
    <fill>
      <patternFill patternType="solid">
        <fgColor rgb="FFFFFFFF"/>
        <bgColor rgb="FFFFFFFF"/>
      </patternFill>
    </fill>
  </fills>
  <borders count="9">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000000"/>
      </left>
      <right style="thin">
        <color rgb="FF000000"/>
      </right>
      <top style="thin">
        <color rgb="FFFFFFFF"/>
      </top>
      <bottom style="thin">
        <color rgb="FF000000"/>
      </bottom>
    </border>
    <border>
      <left style="thin">
        <color rgb="FF000000"/>
      </left>
      <right style="thin">
        <color rgb="FF000000"/>
      </right>
      <top style="thin">
        <color rgb="FF000000"/>
      </top>
      <bottom style="thin">
        <color rgb="FF000000"/>
      </bottom>
    </border>
    <border>
      <left style="thin">
        <color rgb="FFFFFFFF"/>
      </left>
      <right style="thin">
        <color rgb="FFFFFFF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FFFFF"/>
      </left>
      <right style="thin">
        <color rgb="FF284E3F"/>
      </right>
      <top style="thin">
        <color rgb="FFFFFFFF"/>
      </top>
      <bottom style="thin">
        <color rgb="FF284E3F"/>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0" fontId="1" numFmtId="0" xfId="0" applyAlignment="1" applyFont="1">
      <alignment vertical="bottom"/>
    </xf>
    <xf borderId="1" fillId="0" fontId="2" numFmtId="0" xfId="0" applyAlignment="1" applyBorder="1" applyFont="1">
      <alignment horizontal="left" readingOrder="0" shrinkToFit="0" vertical="bottom" wrapText="1"/>
    </xf>
    <xf borderId="2" fillId="0" fontId="3" numFmtId="0" xfId="0" applyAlignment="1" applyBorder="1" applyFont="1">
      <alignment horizontal="center" readingOrder="0" shrinkToFit="0" vertical="bottom" wrapText="1"/>
    </xf>
    <xf borderId="2" fillId="0" fontId="4" numFmtId="0" xfId="0" applyAlignment="1" applyBorder="1" applyFont="1">
      <alignment horizontal="center" readingOrder="0" shrinkToFit="0" vertical="bottom" wrapText="1"/>
    </xf>
    <xf borderId="3" fillId="0" fontId="4" numFmtId="0" xfId="0" applyAlignment="1" applyBorder="1" applyFont="1">
      <alignment horizontal="center" readingOrder="0" shrinkToFit="0" vertical="bottom" wrapText="1"/>
    </xf>
    <xf borderId="4" fillId="0" fontId="1" numFmtId="0" xfId="0" applyAlignment="1" applyBorder="1" applyFont="1">
      <alignment horizontal="center" shrinkToFit="0" vertical="center" wrapText="1"/>
    </xf>
    <xf borderId="4" fillId="0" fontId="1" numFmtId="0" xfId="0" applyAlignment="1" applyBorder="1" applyFont="1">
      <alignment horizontal="center" readingOrder="0" shrinkToFit="0" vertical="center" wrapText="0"/>
    </xf>
    <xf borderId="4" fillId="0" fontId="1" numFmtId="0" xfId="0" applyAlignment="1" applyBorder="1" applyFont="1">
      <alignment horizontal="center" readingOrder="0" shrinkToFit="0" vertical="center" wrapText="1"/>
    </xf>
    <xf borderId="4" fillId="0" fontId="1" numFmtId="0" xfId="0" applyAlignment="1" applyBorder="1" applyFont="1">
      <alignment horizontal="center" readingOrder="0" shrinkToFit="0" vertical="center" wrapText="1"/>
    </xf>
    <xf borderId="4" fillId="0" fontId="1" numFmtId="0" xfId="0" applyAlignment="1" applyBorder="1" applyFont="1">
      <alignment horizontal="center" shrinkToFit="0" vertical="center" wrapText="0"/>
    </xf>
    <xf borderId="5" fillId="0" fontId="1" numFmtId="0" xfId="0" applyAlignment="1" applyBorder="1" applyFont="1">
      <alignment horizontal="center" shrinkToFit="0" vertical="center" wrapText="1"/>
    </xf>
    <xf borderId="5" fillId="0" fontId="1" numFmtId="0" xfId="0" applyAlignment="1" applyBorder="1" applyFont="1">
      <alignment horizontal="center" readingOrder="0" shrinkToFit="0" vertical="center" wrapText="0"/>
    </xf>
    <xf borderId="5" fillId="0" fontId="1" numFmtId="0" xfId="0" applyAlignment="1" applyBorder="1" applyFont="1">
      <alignment horizontal="center" readingOrder="0" shrinkToFit="0" vertical="center" wrapText="1"/>
    </xf>
    <xf borderId="5" fillId="0" fontId="1" numFmtId="0" xfId="0" applyAlignment="1" applyBorder="1" applyFont="1">
      <alignment horizontal="center" readingOrder="0" shrinkToFit="0" vertical="center" wrapText="1"/>
    </xf>
    <xf borderId="5" fillId="0" fontId="1" numFmtId="0" xfId="0" applyAlignment="1" applyBorder="1" applyFont="1">
      <alignment horizontal="center" shrinkToFit="0" vertical="center" wrapText="0"/>
    </xf>
    <xf borderId="5" fillId="0" fontId="1" numFmtId="0" xfId="0" applyAlignment="1" applyBorder="1" applyFont="1">
      <alignment horizontal="center" shrinkToFit="0" vertical="center" wrapText="1"/>
    </xf>
    <xf borderId="5" fillId="0" fontId="1" numFmtId="0" xfId="0" applyAlignment="1" applyBorder="1" applyFont="1">
      <alignment horizontal="center" shrinkToFit="0" vertical="center" wrapText="0"/>
    </xf>
    <xf borderId="5" fillId="0" fontId="1" numFmtId="0" xfId="0" applyAlignment="1" applyBorder="1" applyFont="1">
      <alignment horizontal="center" readingOrder="0" shrinkToFit="0" vertical="center" wrapText="0"/>
    </xf>
    <xf borderId="6" fillId="0" fontId="1" numFmtId="0" xfId="0" applyAlignment="1" applyBorder="1" applyFont="1">
      <alignment horizontal="center" readingOrder="0" shrinkToFit="0" vertical="center" wrapText="1"/>
    </xf>
    <xf borderId="5" fillId="0" fontId="1" numFmtId="0" xfId="0" applyAlignment="1" applyBorder="1" applyFont="1">
      <alignment horizontal="center" shrinkToFit="0" vertical="center" wrapText="1"/>
    </xf>
    <xf borderId="5" fillId="0" fontId="1" numFmtId="0" xfId="0" applyAlignment="1" applyBorder="1" applyFont="1">
      <alignment horizontal="center" readingOrder="0" shrinkToFit="0" vertical="center" wrapText="1"/>
    </xf>
    <xf borderId="5" fillId="0" fontId="1" numFmtId="0" xfId="0" applyAlignment="1" applyBorder="1" applyFont="1">
      <alignment horizontal="center" readingOrder="0" shrinkToFit="0" vertical="center" wrapText="1"/>
    </xf>
    <xf borderId="5" fillId="0" fontId="1" numFmtId="0" xfId="0" applyAlignment="1" applyBorder="1" applyFont="1">
      <alignment horizontal="center" shrinkToFit="0" vertical="center" wrapText="1"/>
    </xf>
    <xf borderId="7" fillId="0" fontId="1" numFmtId="0" xfId="0" applyAlignment="1" applyBorder="1" applyFont="1">
      <alignment horizontal="center" shrinkToFit="0" vertical="center" wrapText="1"/>
    </xf>
    <xf borderId="5" fillId="2" fontId="5" numFmtId="0" xfId="0" applyAlignment="1" applyBorder="1" applyFill="1" applyFont="1">
      <alignment shrinkToFit="0" vertical="center" wrapText="1"/>
    </xf>
    <xf borderId="5" fillId="2" fontId="5" numFmtId="0" xfId="0" applyAlignment="1" applyBorder="1" applyFont="1">
      <alignment horizontal="right" shrinkToFit="0" vertical="center" wrapText="1"/>
    </xf>
    <xf borderId="8" fillId="0" fontId="1" numFmtId="0" xfId="0" applyAlignment="1" applyBorder="1" applyFont="1">
      <alignment horizontal="center" shrinkToFit="0" vertical="center" wrapText="1"/>
    </xf>
    <xf borderId="0" fillId="0" fontId="1" numFmtId="0" xfId="0" applyAlignment="1" applyFont="1">
      <alignment horizontal="right" shrinkToFit="0" vertical="bottom" wrapText="1"/>
    </xf>
  </cellXfs>
  <cellStyles count="1">
    <cellStyle xfId="0" name="Normal" builtinId="0"/>
  </cellStyles>
  <dxfs count="4">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s>
  <tableStyles count="1">
    <tableStyle count="3" pivot="0" name="Sheet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C3:L18" displayName="Project_Sleep_Data" name="Project_Sleep_Data" id="1">
  <tableColumns count="10">
    <tableColumn name="Sl No." id="1"/>
    <tableColumn name="Title" id="2"/>
    <tableColumn name="Author(s) &amp; Proceedings" id="3"/>
    <tableColumn name="Year" id="4"/>
    <tableColumn name="Journal/ Impact Factor" id="5"/>
    <tableColumn name="Citations" id="6"/>
    <tableColumn name="Dataset Used" id="7"/>
    <tableColumn name="Methodology/ Approach" id="8"/>
    <tableColumn name="Limitations &amp; Future works" id="9"/>
    <tableColumn name="Ref patent(if product based project)" id="10"/>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3.13"/>
    <col customWidth="1" min="4" max="5" width="37.63"/>
    <col customWidth="1" min="7" max="7" width="15.88"/>
    <col customWidth="1" min="8" max="8" width="15.63"/>
    <col customWidth="1" min="9" max="9" width="26.38"/>
    <col customWidth="1" min="10" max="10" width="37.63"/>
    <col customWidth="1" min="11" max="12" width="46.75"/>
  </cols>
  <sheetData>
    <row r="2">
      <c r="B2" s="1"/>
      <c r="C2" s="1"/>
      <c r="D2" s="1"/>
      <c r="E2" s="1"/>
      <c r="F2" s="1"/>
      <c r="G2" s="1"/>
      <c r="H2" s="1"/>
      <c r="I2" s="1"/>
      <c r="J2" s="1"/>
      <c r="K2" s="1"/>
      <c r="L2" s="1"/>
    </row>
    <row r="3">
      <c r="B3" s="1"/>
      <c r="C3" s="2" t="s">
        <v>0</v>
      </c>
      <c r="D3" s="3" t="s">
        <v>1</v>
      </c>
      <c r="E3" s="3" t="s">
        <v>2</v>
      </c>
      <c r="F3" s="4" t="s">
        <v>3</v>
      </c>
      <c r="G3" s="4" t="s">
        <v>4</v>
      </c>
      <c r="H3" s="4" t="s">
        <v>5</v>
      </c>
      <c r="I3" s="4" t="s">
        <v>6</v>
      </c>
      <c r="J3" s="4" t="s">
        <v>7</v>
      </c>
      <c r="K3" s="4" t="s">
        <v>8</v>
      </c>
      <c r="L3" s="5" t="s">
        <v>9</v>
      </c>
    </row>
    <row r="4" ht="243.75" customHeight="1">
      <c r="B4" s="1"/>
      <c r="C4" s="6">
        <v>1.0</v>
      </c>
      <c r="D4" s="7" t="s">
        <v>10</v>
      </c>
      <c r="E4" s="8" t="s">
        <v>11</v>
      </c>
      <c r="F4" s="9">
        <v>2021.0</v>
      </c>
      <c r="G4" s="9">
        <v>6.01</v>
      </c>
      <c r="H4" s="9">
        <v>75.0</v>
      </c>
      <c r="I4" s="8" t="s">
        <v>12</v>
      </c>
      <c r="J4" s="8" t="s">
        <v>13</v>
      </c>
      <c r="K4" s="8" t="s">
        <v>14</v>
      </c>
      <c r="L4" s="10"/>
    </row>
    <row r="5" ht="182.25" customHeight="1">
      <c r="B5" s="1"/>
      <c r="C5" s="11">
        <v>2.0</v>
      </c>
      <c r="D5" s="12" t="s">
        <v>15</v>
      </c>
      <c r="E5" s="13" t="s">
        <v>16</v>
      </c>
      <c r="F5" s="14">
        <v>2025.0</v>
      </c>
      <c r="G5" s="14">
        <v>15.1</v>
      </c>
      <c r="H5" s="14">
        <v>3.0</v>
      </c>
      <c r="I5" s="13" t="s">
        <v>17</v>
      </c>
      <c r="J5" s="13" t="s">
        <v>18</v>
      </c>
      <c r="K5" s="13" t="s">
        <v>19</v>
      </c>
      <c r="L5" s="15"/>
    </row>
    <row r="6">
      <c r="B6" s="1"/>
      <c r="C6" s="11">
        <v>3.0</v>
      </c>
      <c r="D6" s="13" t="s">
        <v>20</v>
      </c>
      <c r="E6" s="16" t="s">
        <v>21</v>
      </c>
      <c r="F6" s="11">
        <v>2024.0</v>
      </c>
      <c r="G6" s="17"/>
      <c r="H6" s="18">
        <v>26.0</v>
      </c>
      <c r="I6" s="16" t="s">
        <v>22</v>
      </c>
      <c r="J6" s="16" t="s">
        <v>23</v>
      </c>
      <c r="K6" s="16" t="s">
        <v>24</v>
      </c>
      <c r="L6" s="15"/>
    </row>
    <row r="7" ht="229.5" customHeight="1">
      <c r="B7" s="1"/>
      <c r="C7" s="11">
        <v>4.0</v>
      </c>
      <c r="D7" s="13" t="s">
        <v>25</v>
      </c>
      <c r="E7" s="13" t="s">
        <v>26</v>
      </c>
      <c r="F7" s="14">
        <v>2021.0</v>
      </c>
      <c r="G7" s="14">
        <v>5.6</v>
      </c>
      <c r="H7" s="14">
        <v>113.0</v>
      </c>
      <c r="I7" s="13" t="s">
        <v>27</v>
      </c>
      <c r="J7" s="13" t="s">
        <v>28</v>
      </c>
      <c r="K7" s="13" t="s">
        <v>29</v>
      </c>
      <c r="L7" s="15"/>
    </row>
    <row r="8">
      <c r="B8" s="1"/>
      <c r="C8" s="11">
        <v>5.0</v>
      </c>
      <c r="D8" s="13" t="s">
        <v>30</v>
      </c>
      <c r="E8" s="19" t="s">
        <v>31</v>
      </c>
      <c r="F8" s="18">
        <v>2025.0</v>
      </c>
      <c r="G8" s="17"/>
      <c r="H8" s="18">
        <v>2.0</v>
      </c>
      <c r="I8" s="16" t="s">
        <v>32</v>
      </c>
      <c r="J8" s="16" t="s">
        <v>33</v>
      </c>
      <c r="K8" s="16" t="s">
        <v>34</v>
      </c>
      <c r="L8" s="15"/>
    </row>
    <row r="9">
      <c r="B9" s="1"/>
      <c r="C9" s="11">
        <f t="shared" ref="C9:C18" si="1">C8+1</f>
        <v>6</v>
      </c>
      <c r="D9" s="12" t="s">
        <v>35</v>
      </c>
      <c r="E9" s="13" t="s">
        <v>36</v>
      </c>
      <c r="F9" s="11">
        <v>2022.0</v>
      </c>
      <c r="G9" s="11">
        <v>4.5</v>
      </c>
      <c r="H9" s="11">
        <v>302.0</v>
      </c>
      <c r="I9" s="16" t="s">
        <v>37</v>
      </c>
      <c r="J9" s="16" t="s">
        <v>38</v>
      </c>
      <c r="K9" s="16" t="s">
        <v>39</v>
      </c>
      <c r="L9" s="15"/>
    </row>
    <row r="10" ht="258.75" customHeight="1">
      <c r="B10" s="1"/>
      <c r="C10" s="11">
        <f t="shared" si="1"/>
        <v>7</v>
      </c>
      <c r="D10" s="12" t="s">
        <v>40</v>
      </c>
      <c r="E10" s="13" t="s">
        <v>41</v>
      </c>
      <c r="F10" s="18">
        <v>2020.0</v>
      </c>
      <c r="G10" s="18">
        <v>6.6</v>
      </c>
      <c r="H10" s="18">
        <v>34.0</v>
      </c>
      <c r="I10" s="13" t="s">
        <v>42</v>
      </c>
      <c r="J10" s="13" t="s">
        <v>43</v>
      </c>
      <c r="K10" s="13" t="s">
        <v>44</v>
      </c>
      <c r="L10" s="15"/>
    </row>
    <row r="11" ht="201.75" customHeight="1">
      <c r="B11" s="1"/>
      <c r="C11" s="11">
        <f t="shared" si="1"/>
        <v>8</v>
      </c>
      <c r="D11" s="13" t="s">
        <v>45</v>
      </c>
      <c r="E11" s="13" t="s">
        <v>46</v>
      </c>
      <c r="F11" s="18">
        <v>2020.0</v>
      </c>
      <c r="G11" s="18">
        <v>3.4</v>
      </c>
      <c r="H11" s="18">
        <v>86.0</v>
      </c>
      <c r="I11" s="12" t="s">
        <v>12</v>
      </c>
      <c r="J11" s="13" t="s">
        <v>47</v>
      </c>
      <c r="K11" s="13" t="s">
        <v>48</v>
      </c>
      <c r="L11" s="15"/>
    </row>
    <row r="12" ht="223.5" customHeight="1">
      <c r="B12" s="1"/>
      <c r="C12" s="11">
        <f t="shared" si="1"/>
        <v>9</v>
      </c>
      <c r="D12" s="13" t="s">
        <v>49</v>
      </c>
      <c r="E12" s="13" t="s">
        <v>50</v>
      </c>
      <c r="F12" s="14">
        <v>2023.0</v>
      </c>
      <c r="G12" s="14">
        <v>6.3</v>
      </c>
      <c r="H12" s="14">
        <v>52.0</v>
      </c>
      <c r="I12" s="13" t="s">
        <v>51</v>
      </c>
      <c r="J12" s="13" t="s">
        <v>52</v>
      </c>
      <c r="K12" s="13" t="s">
        <v>53</v>
      </c>
      <c r="L12" s="15"/>
    </row>
    <row r="13" ht="252.0" customHeight="1">
      <c r="B13" s="1"/>
      <c r="C13" s="11">
        <f t="shared" si="1"/>
        <v>10</v>
      </c>
      <c r="D13" s="13" t="s">
        <v>54</v>
      </c>
      <c r="E13" s="13" t="s">
        <v>55</v>
      </c>
      <c r="F13" s="14">
        <v>2024.0</v>
      </c>
      <c r="G13" s="14">
        <v>6.3</v>
      </c>
      <c r="H13" s="14">
        <v>3.0</v>
      </c>
      <c r="I13" s="13" t="s">
        <v>56</v>
      </c>
      <c r="J13" s="13" t="s">
        <v>57</v>
      </c>
      <c r="K13" s="13" t="s">
        <v>58</v>
      </c>
      <c r="L13" s="15"/>
    </row>
    <row r="14" ht="325.5" customHeight="1">
      <c r="B14" s="1"/>
      <c r="C14" s="11">
        <f t="shared" si="1"/>
        <v>11</v>
      </c>
      <c r="D14" s="13" t="s">
        <v>59</v>
      </c>
      <c r="E14" s="13" t="s">
        <v>60</v>
      </c>
      <c r="F14" s="14">
        <v>2021.0</v>
      </c>
      <c r="G14" s="14">
        <v>8.9</v>
      </c>
      <c r="H14" s="14">
        <v>2466.0</v>
      </c>
      <c r="I14" s="13" t="s">
        <v>61</v>
      </c>
      <c r="J14" s="13" t="s">
        <v>62</v>
      </c>
      <c r="K14" s="13" t="s">
        <v>63</v>
      </c>
      <c r="L14" s="15"/>
    </row>
    <row r="15" ht="384.0" customHeight="1">
      <c r="B15" s="1"/>
      <c r="C15" s="11">
        <f t="shared" si="1"/>
        <v>12</v>
      </c>
      <c r="D15" s="13" t="s">
        <v>64</v>
      </c>
      <c r="E15" s="13" t="s">
        <v>65</v>
      </c>
      <c r="F15" s="14">
        <v>2025.0</v>
      </c>
      <c r="G15" s="14">
        <v>3.6</v>
      </c>
      <c r="H15" s="14">
        <v>3.0</v>
      </c>
      <c r="I15" s="13" t="s">
        <v>66</v>
      </c>
      <c r="J15" s="13" t="s">
        <v>67</v>
      </c>
      <c r="K15" s="13" t="s">
        <v>68</v>
      </c>
      <c r="L15" s="16"/>
    </row>
    <row r="16">
      <c r="B16" s="1"/>
      <c r="C16" s="20">
        <f t="shared" si="1"/>
        <v>13</v>
      </c>
      <c r="D16" s="21" t="s">
        <v>69</v>
      </c>
      <c r="E16" s="21" t="s">
        <v>70</v>
      </c>
      <c r="F16" s="22">
        <v>2023.0</v>
      </c>
      <c r="G16" s="22">
        <v>3.5</v>
      </c>
      <c r="H16" s="22">
        <v>49.0</v>
      </c>
      <c r="I16" s="21" t="s">
        <v>71</v>
      </c>
      <c r="J16" s="21" t="s">
        <v>72</v>
      </c>
      <c r="K16" s="21" t="s">
        <v>73</v>
      </c>
      <c r="L16" s="23"/>
    </row>
    <row r="17">
      <c r="B17" s="1"/>
      <c r="C17" s="24">
        <f t="shared" si="1"/>
        <v>14</v>
      </c>
      <c r="D17" s="21" t="s">
        <v>74</v>
      </c>
      <c r="E17" s="21" t="s">
        <v>75</v>
      </c>
      <c r="F17" s="22">
        <v>2021.0</v>
      </c>
      <c r="G17" s="22">
        <v>3.9</v>
      </c>
      <c r="H17" s="22">
        <v>342.0</v>
      </c>
      <c r="I17" s="21" t="s">
        <v>76</v>
      </c>
      <c r="J17" s="21" t="s">
        <v>77</v>
      </c>
      <c r="K17" s="21" t="s">
        <v>78</v>
      </c>
      <c r="L17" s="23"/>
    </row>
    <row r="18">
      <c r="B18" s="1"/>
      <c r="C18" s="20">
        <f t="shared" si="1"/>
        <v>15</v>
      </c>
      <c r="D18" s="25" t="s">
        <v>79</v>
      </c>
      <c r="E18" s="25" t="s">
        <v>80</v>
      </c>
      <c r="F18" s="26">
        <v>2024.0</v>
      </c>
      <c r="G18" s="26">
        <v>3.6</v>
      </c>
      <c r="H18" s="26">
        <v>35.0</v>
      </c>
      <c r="I18" s="25" t="s">
        <v>81</v>
      </c>
      <c r="J18" s="25" t="s">
        <v>82</v>
      </c>
      <c r="K18" s="25" t="s">
        <v>83</v>
      </c>
      <c r="L18" s="27"/>
    </row>
    <row r="19">
      <c r="B19" s="1"/>
      <c r="C19" s="28"/>
      <c r="D19" s="1"/>
      <c r="E19" s="1"/>
      <c r="F19" s="1"/>
      <c r="G19" s="1"/>
      <c r="H19" s="1"/>
      <c r="I19" s="1"/>
      <c r="J19" s="1"/>
      <c r="K19" s="1"/>
      <c r="L19" s="1"/>
    </row>
    <row r="20">
      <c r="B20" s="1"/>
      <c r="C20" s="28"/>
      <c r="D20" s="1"/>
      <c r="E20" s="1"/>
      <c r="F20" s="1"/>
      <c r="G20" s="1"/>
      <c r="H20" s="1"/>
      <c r="I20" s="1"/>
      <c r="J20" s="1"/>
      <c r="K20" s="1"/>
      <c r="L20" s="1"/>
    </row>
    <row r="21">
      <c r="B21" s="1"/>
      <c r="C21" s="28"/>
      <c r="D21" s="1"/>
      <c r="E21" s="1"/>
      <c r="F21" s="1"/>
      <c r="G21" s="1"/>
      <c r="H21" s="1"/>
      <c r="I21" s="1"/>
      <c r="J21" s="1"/>
      <c r="K21" s="1"/>
      <c r="L21" s="1"/>
    </row>
    <row r="22">
      <c r="B22" s="1"/>
      <c r="C22" s="28"/>
      <c r="D22" s="1"/>
      <c r="E22" s="1"/>
      <c r="F22" s="1"/>
      <c r="G22" s="1"/>
      <c r="H22" s="1"/>
      <c r="I22" s="1"/>
      <c r="J22" s="1"/>
      <c r="K22" s="1"/>
      <c r="L22" s="1"/>
    </row>
    <row r="23">
      <c r="B23" s="1"/>
      <c r="C23" s="28"/>
      <c r="D23" s="1"/>
      <c r="E23" s="1"/>
      <c r="F23" s="1"/>
      <c r="G23" s="1"/>
      <c r="H23" s="1"/>
      <c r="I23" s="1"/>
      <c r="J23" s="1"/>
      <c r="K23" s="1"/>
      <c r="L23" s="1"/>
    </row>
    <row r="24">
      <c r="B24" s="1"/>
      <c r="C24" s="28"/>
      <c r="D24" s="1"/>
      <c r="E24" s="1"/>
      <c r="F24" s="1"/>
      <c r="G24" s="1"/>
      <c r="H24" s="1"/>
      <c r="I24" s="1"/>
      <c r="J24" s="1"/>
      <c r="K24" s="1"/>
      <c r="L24" s="1"/>
    </row>
    <row r="25">
      <c r="B25" s="1"/>
      <c r="C25" s="28"/>
      <c r="D25" s="1"/>
      <c r="E25" s="1"/>
      <c r="F25" s="1"/>
      <c r="G25" s="1"/>
      <c r="H25" s="1"/>
      <c r="I25" s="1"/>
      <c r="J25" s="1"/>
      <c r="K25" s="1"/>
      <c r="L25" s="1"/>
    </row>
    <row r="26">
      <c r="B26" s="1"/>
      <c r="C26" s="28"/>
      <c r="D26" s="1"/>
      <c r="E26" s="1"/>
      <c r="F26" s="1"/>
      <c r="G26" s="1"/>
      <c r="H26" s="1"/>
      <c r="I26" s="1"/>
      <c r="J26" s="1"/>
      <c r="K26" s="1"/>
      <c r="L26" s="1"/>
    </row>
    <row r="27">
      <c r="B27" s="1"/>
      <c r="C27" s="28"/>
      <c r="D27" s="1"/>
      <c r="E27" s="1"/>
      <c r="F27" s="1"/>
      <c r="G27" s="1"/>
      <c r="H27" s="1"/>
      <c r="I27" s="1"/>
      <c r="J27" s="1"/>
      <c r="K27" s="1"/>
      <c r="L27" s="1"/>
    </row>
    <row r="28">
      <c r="B28" s="1"/>
      <c r="C28" s="28"/>
      <c r="D28" s="1"/>
      <c r="E28" s="1"/>
      <c r="F28" s="1"/>
      <c r="G28" s="1"/>
      <c r="H28" s="1"/>
      <c r="I28" s="1"/>
      <c r="J28" s="1"/>
      <c r="K28" s="1"/>
      <c r="L28" s="1"/>
    </row>
    <row r="29">
      <c r="B29" s="1"/>
      <c r="C29" s="28"/>
      <c r="D29" s="1"/>
      <c r="E29" s="1"/>
      <c r="F29" s="1"/>
      <c r="G29" s="1"/>
      <c r="H29" s="1"/>
      <c r="I29" s="1"/>
      <c r="J29" s="1"/>
      <c r="K29" s="1"/>
      <c r="L29" s="1"/>
    </row>
    <row r="30">
      <c r="B30" s="1"/>
      <c r="C30" s="28"/>
      <c r="D30" s="1"/>
      <c r="E30" s="1"/>
      <c r="F30" s="1"/>
      <c r="G30" s="1"/>
      <c r="H30" s="1"/>
      <c r="I30" s="1"/>
      <c r="J30" s="1"/>
      <c r="K30" s="1"/>
      <c r="L30" s="1"/>
    </row>
    <row r="31">
      <c r="B31" s="1"/>
      <c r="C31" s="28"/>
      <c r="D31" s="1"/>
      <c r="E31" s="1"/>
      <c r="F31" s="1"/>
      <c r="G31" s="1"/>
      <c r="H31" s="1"/>
      <c r="I31" s="1"/>
      <c r="J31" s="1"/>
      <c r="K31" s="1"/>
      <c r="L31" s="1"/>
    </row>
    <row r="32">
      <c r="B32" s="1"/>
      <c r="C32" s="28"/>
      <c r="D32" s="1"/>
      <c r="E32" s="1"/>
      <c r="F32" s="1"/>
      <c r="G32" s="1"/>
      <c r="H32" s="1"/>
      <c r="I32" s="1"/>
      <c r="J32" s="1"/>
      <c r="K32" s="1"/>
      <c r="L32" s="1"/>
    </row>
    <row r="33">
      <c r="B33" s="1"/>
      <c r="C33" s="28"/>
      <c r="D33" s="1"/>
      <c r="E33" s="1"/>
      <c r="F33" s="1"/>
      <c r="G33" s="1"/>
      <c r="H33" s="1"/>
      <c r="I33" s="1"/>
      <c r="J33" s="1"/>
      <c r="K33" s="1"/>
      <c r="L33" s="1"/>
    </row>
    <row r="34">
      <c r="B34" s="1"/>
      <c r="C34" s="28"/>
      <c r="D34" s="1"/>
      <c r="E34" s="1"/>
      <c r="F34" s="1"/>
      <c r="G34" s="1"/>
      <c r="H34" s="1"/>
      <c r="I34" s="1"/>
      <c r="J34" s="1"/>
      <c r="K34" s="1"/>
      <c r="L34" s="1"/>
    </row>
  </sheetData>
  <dataValidations>
    <dataValidation type="custom" allowBlank="1" showDropDown="1" sqref="C4:C18 F4:H18">
      <formula1>AND(ISNUMBER(C4),(NOT(OR(NOT(ISERROR(DATEVALUE(C4))), AND(ISNUMBER(C4), LEFT(CELL("format", C4))="D")))))</formula1>
    </dataValidation>
  </dataValidations>
  <drawing r:id="rId1"/>
  <tableParts count="1">
    <tablePart r:id="rId3"/>
  </tableParts>
</worksheet>
</file>